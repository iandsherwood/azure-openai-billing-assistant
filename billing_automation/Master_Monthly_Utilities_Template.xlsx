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0" yWindow="2040" windowWidth="29300" windowHeight="18320" tabRatio="500" firstSheet="0" activeTab="0" autoFilterDateGrouping="1"/>
  </bookViews>
  <sheets>
    <sheet xmlns:r="http://schemas.openxmlformats.org/officeDocument/2006/relationships" name="Monthly Utilities 2026" sheetId="1" state="visible" r:id="rId1"/>
  </sheets>
  <definedNames>
    <definedName name="_xlnm.Print_Area" localSheetId="0">'Monthly Utilities 2026'!$A$1:$K$10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9">
    <font>
      <name val="Calibri"/>
      <charset val="1"/>
      <family val="2"/>
      <color theme="1"/>
      <sz val="11"/>
    </font>
    <font>
      <name val="Helvetica Neue Medium"/>
      <charset val="1"/>
      <color theme="0"/>
      <sz val="36"/>
    </font>
    <font>
      <name val="Calibri"/>
      <charset val="1"/>
      <family val="2"/>
      <b val="1"/>
      <sz val="16"/>
    </font>
    <font>
      <name val="Calibri"/>
      <charset val="1"/>
      <family val="2"/>
      <color theme="1"/>
      <sz val="16"/>
    </font>
    <font>
      <name val="Calibri"/>
      <charset val="1"/>
      <family val="2"/>
      <color theme="1"/>
      <sz val="14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0"/>
      <sz val="12"/>
    </font>
    <font>
      <name val="Calibri"/>
      <charset val="1"/>
      <family val="2"/>
      <b val="1"/>
      <color theme="5"/>
      <sz val="12"/>
    </font>
    <font>
      <name val="Calibri"/>
      <family val="2"/>
      <color rgb="FF3E3E00"/>
      <sz val="12"/>
    </font>
  </fonts>
  <fills count="6">
    <fill>
      <patternFill/>
    </fill>
    <fill>
      <patternFill patternType="gray125"/>
    </fill>
    <fill>
      <patternFill patternType="solid">
        <fgColor rgb="FF54787D"/>
        <bgColor rgb="FF8064A2"/>
      </patternFill>
    </fill>
    <fill>
      <patternFill patternType="solid">
        <fgColor rgb="FFFFD966"/>
        <bgColor rgb="FFFFFF99"/>
      </patternFill>
    </fill>
    <fill>
      <patternFill patternType="solid">
        <fgColor rgb="FFA5A5A5"/>
        <bgColor rgb="FFC0C0C0"/>
      </patternFill>
    </fill>
    <fill>
      <patternFill patternType="solid">
        <fgColor theme="7"/>
        <bgColor rgb="FF54787D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 shrinkToFit="1"/>
    </xf>
    <xf numFmtId="164" fontId="4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0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wrapText="1"/>
    </xf>
    <xf numFmtId="164" fontId="6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 shrinkToFi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wrapText="1"/>
    </xf>
    <xf numFmtId="164" fontId="7" fillId="4" borderId="1" applyAlignment="1" pivotButton="0" quotePrefix="0" xfId="0">
      <alignment horizontal="right" wrapText="1"/>
    </xf>
    <xf numFmtId="0" fontId="1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4787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8064A2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2" displayName="Table22" ref="A2:K26" headerRowCount="1" totalsRowShown="0">
  <autoFilter ref="A2:K26"/>
  <tableColumns count="11">
    <tableColumn id="1" name="Month"/>
    <tableColumn id="2" name="Electricity Total ($)"/>
    <tableColumn id="3" name="Natural Gas Total ($)"/>
    <tableColumn id="4" name="Internet Total ($)"/>
    <tableColumn id="5" name="Garbage Total ($)"/>
    <tableColumn id="6" name="Pet Waste Service"/>
    <tableColumn id="7" name="Water/Sewer Total ($)"/>
    <tableColumn id="8" name="Tenant Owes ($)"/>
    <tableColumn id="9" name="Credits/Notes"/>
    <tableColumn id="10" name="Landlord Cost ($)"/>
    <tableColumn id="11" name="Total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tabSelected="1" zoomScaleNormal="100" workbookViewId="0">
      <pane ySplit="2" topLeftCell="A7" activePane="bottomLeft" state="frozen"/>
      <selection pane="bottomLeft" activeCell="I8" sqref="I8"/>
    </sheetView>
  </sheetViews>
  <sheetFormatPr baseColWidth="10" defaultColWidth="8.83203125" defaultRowHeight="15"/>
  <cols>
    <col width="15.83203125" customWidth="1" style="17" min="1" max="1"/>
    <col width="20.5" customWidth="1" style="17" min="2" max="2"/>
    <col width="24.1640625" customWidth="1" style="17" min="3" max="3"/>
    <col width="20" customWidth="1" style="17" min="4" max="4"/>
    <col width="19" customWidth="1" style="17" min="5" max="6"/>
    <col width="23" customWidth="1" style="17" min="7" max="7"/>
    <col width="44.6640625" customWidth="1" style="17" min="8" max="8"/>
    <col width="22.83203125" customWidth="1" style="17" min="9" max="9"/>
    <col hidden="1" width="24.83203125" customWidth="1" style="18" min="10" max="10"/>
    <col width="17" customWidth="1" style="17" min="11" max="11"/>
  </cols>
  <sheetData>
    <row r="1" ht="63.75" customHeight="1" s="17">
      <c r="A1" s="16" t="inlineStr">
        <is>
          <t>Sample Property Utilities Worksheet 2026</t>
        </is>
      </c>
    </row>
    <row r="2" ht="43.5" customFormat="1" customHeight="1" s="3">
      <c r="A2" s="2" t="inlineStr">
        <is>
          <t>Month</t>
        </is>
      </c>
      <c r="B2" s="2" t="inlineStr">
        <is>
          <t>Electricity Total ($)</t>
        </is>
      </c>
      <c r="C2" s="2" t="inlineStr">
        <is>
          <t>Natural Gas Total ($)</t>
        </is>
      </c>
      <c r="D2" s="2" t="inlineStr">
        <is>
          <t>Internet Total ($)</t>
        </is>
      </c>
      <c r="E2" s="2" t="inlineStr">
        <is>
          <t>Garbage Total ($)</t>
        </is>
      </c>
      <c r="F2" s="2" t="inlineStr">
        <is>
          <t>Pet Waste Service</t>
        </is>
      </c>
      <c r="G2" s="2" t="inlineStr">
        <is>
          <t>Water/Sewer Total ($)</t>
        </is>
      </c>
      <c r="H2" s="2" t="inlineStr">
        <is>
          <t>Tenant Owes ($)</t>
        </is>
      </c>
      <c r="I2" s="2" t="inlineStr">
        <is>
          <t>Credits/Notes</t>
        </is>
      </c>
      <c r="J2" s="2" t="inlineStr">
        <is>
          <t>Landlord Cost ($)</t>
        </is>
      </c>
      <c r="K2" s="2" t="inlineStr">
        <is>
          <t>Total</t>
        </is>
      </c>
    </row>
    <row r="3" hidden="1" ht="15.75" customHeight="1" s="17">
      <c r="A3" s="5" t="inlineStr">
        <is>
          <t>January</t>
        </is>
      </c>
      <c r="B3" s="6" t="n">
        <v>65</v>
      </c>
      <c r="C3" s="6" t="n">
        <v>22.5</v>
      </c>
      <c r="D3" s="6" t="n">
        <v>110</v>
      </c>
      <c r="E3" s="6" t="n">
        <v>95</v>
      </c>
      <c r="F3" s="6" t="n">
        <v>60</v>
      </c>
      <c r="G3" s="6" t="n">
        <v>180</v>
      </c>
      <c r="H3" s="7">
        <f>0.5*B3 + 0.8*C3 + 0.5*D3 + 0.5*E3 + F3 + MIN(0.5*G3, 80)</f>
        <v/>
      </c>
      <c r="I3" s="6" t="n"/>
      <c r="J3" s="6">
        <f>0.5*B3 + 0.2*C3 + 0.5*D3 + 0.5*E3 + 0 + (G3 - MIN(0.5*G3, 80))</f>
        <v/>
      </c>
      <c r="K3" s="6">
        <f>J3+H3</f>
        <v/>
      </c>
    </row>
    <row r="4" hidden="1" ht="15.75" customHeight="1" s="17">
      <c r="A4" s="9" t="inlineStr">
        <is>
          <t>Tenant Share:</t>
        </is>
      </c>
      <c r="B4" s="10">
        <f>0.5*B3</f>
        <v/>
      </c>
      <c r="C4" s="10">
        <f>0.8*C3</f>
        <v/>
      </c>
      <c r="D4" s="10">
        <f>0.5*D3</f>
        <v/>
      </c>
      <c r="E4" s="10">
        <f>0.5*E3</f>
        <v/>
      </c>
      <c r="F4" s="10">
        <f>F3</f>
        <v/>
      </c>
      <c r="G4" s="10">
        <f>MIN(0.5*G3, 80)</f>
        <v/>
      </c>
      <c r="H4" s="15" t="n"/>
      <c r="I4" s="10" t="n"/>
      <c r="J4" s="6" t="n"/>
      <c r="K4" s="6" t="n"/>
    </row>
    <row r="5" hidden="1" ht="15.75" customHeight="1" s="17">
      <c r="A5" s="5" t="inlineStr">
        <is>
          <t>February</t>
        </is>
      </c>
      <c r="B5" s="6" t="n">
        <v>70</v>
      </c>
      <c r="C5" s="6" t="n">
        <v>19.75</v>
      </c>
      <c r="D5" s="6" t="n">
        <v>110</v>
      </c>
      <c r="E5" s="6" t="n">
        <v>95</v>
      </c>
      <c r="F5" s="6" t="n">
        <v>60</v>
      </c>
      <c r="G5" s="6" t="n">
        <v>175</v>
      </c>
      <c r="H5" s="7">
        <f>0.5*B5 + 0.8*C5 + 0.5*D5 + 0.5*E5 + F5 + MIN(0.5*G5, 80)</f>
        <v/>
      </c>
      <c r="I5" s="6" t="n"/>
      <c r="J5" s="6">
        <f>0.5*B5 + 0.2*C5 + 0.5*D5 + 0.5*E5 + (G5-80)</f>
        <v/>
      </c>
      <c r="K5" s="6">
        <f>J5+H5</f>
        <v/>
      </c>
    </row>
    <row r="6" hidden="1" ht="15.75" customHeight="1" s="17">
      <c r="A6" s="9" t="inlineStr">
        <is>
          <t>Tenant Share:</t>
        </is>
      </c>
      <c r="B6" s="10">
        <f>0.5*B5</f>
        <v/>
      </c>
      <c r="C6" s="10">
        <f>0.8*C5</f>
        <v/>
      </c>
      <c r="D6" s="10">
        <f>0.5*D5</f>
        <v/>
      </c>
      <c r="E6" s="10">
        <f>0.5*E5</f>
        <v/>
      </c>
      <c r="F6" s="10">
        <f>F5</f>
        <v/>
      </c>
      <c r="G6" s="10">
        <f>MIN(0.5*G5, 80)</f>
        <v/>
      </c>
      <c r="H6" s="10" t="n"/>
      <c r="I6" s="10" t="n"/>
      <c r="J6" s="6" t="n"/>
      <c r="K6" s="6" t="n"/>
    </row>
    <row r="7" ht="321" customHeight="1" s="17" thickBot="1">
      <c r="A7" s="5" t="inlineStr">
        <is>
          <t>March</t>
        </is>
      </c>
      <c r="B7" s="6" t="n">
        <v>58</v>
      </c>
      <c r="C7" s="6" t="n">
        <v>16.4</v>
      </c>
      <c r="D7" s="6" t="n">
        <v>110</v>
      </c>
      <c r="E7" s="6" t="n">
        <v>95</v>
      </c>
      <c r="F7" s="6" t="n">
        <v>60</v>
      </c>
      <c r="G7" s="6" t="n">
        <v>195</v>
      </c>
      <c r="H7" s="7">
        <f>0.5*B7 + C7 + 0.5*D7 + 0.5*E7 + F7 + MIN(0.5*G7, 125)</f>
        <v/>
      </c>
      <c r="I7" s="6" t="n"/>
      <c r="J7" s="6">
        <f>0.5*B7 + 0 + 0.5*D7 + 0.5*E7 + 0 + (G7 - MIN(0.5*G7, 125))</f>
        <v/>
      </c>
      <c r="K7" s="6">
        <f>J7+H7</f>
        <v/>
      </c>
    </row>
    <row r="8" ht="69.75" customHeight="1" s="17" thickBot="1" thickTop="1">
      <c r="A8" s="9" t="inlineStr">
        <is>
          <t>Tenant Share:</t>
        </is>
      </c>
      <c r="B8" s="10">
        <f>0.5*B7</f>
        <v/>
      </c>
      <c r="C8" s="10">
        <f>C7</f>
        <v/>
      </c>
      <c r="D8" s="10">
        <f>0.5*D7</f>
        <v/>
      </c>
      <c r="E8" s="10">
        <f>0.5*E7</f>
        <v/>
      </c>
      <c r="F8" s="10">
        <f>F7</f>
        <v/>
      </c>
      <c r="G8" s="10">
        <f>MIN(0.5*G7, 125)</f>
        <v/>
      </c>
      <c r="H8" s="20" t="n"/>
      <c r="I8" s="20" t="n"/>
      <c r="J8" s="6" t="n"/>
      <c r="K8" s="6" t="n"/>
    </row>
    <row r="9" ht="24" customHeight="1" s="17" thickBot="1" thickTop="1">
      <c r="A9" s="5" t="inlineStr">
        <is>
          <t>April</t>
        </is>
      </c>
      <c r="B9" s="6" t="n"/>
      <c r="C9" s="6" t="n"/>
      <c r="D9" s="6" t="n"/>
      <c r="E9" s="6" t="n"/>
      <c r="F9" s="6" t="n"/>
      <c r="G9" s="6" t="n"/>
      <c r="H9" s="7">
        <f>0.5*B9 + C9 + 0.5*D9 + 0.5*E9 + F9 + MIN(0.5*G9, 125)</f>
        <v/>
      </c>
      <c r="I9" s="6" t="n"/>
      <c r="J9" s="6">
        <f>0.5*B9 + 0 + 0.5*D9 + 0.5*E9 + 0 + (G9 - MIN(0.5*G9, 125))</f>
        <v/>
      </c>
      <c r="K9" s="6">
        <f>J9+H9</f>
        <v/>
      </c>
    </row>
    <row r="10" ht="21.75" customHeight="1" s="17" thickBot="1" thickTop="1">
      <c r="A10" s="9" t="inlineStr">
        <is>
          <t>Tenant Share:</t>
        </is>
      </c>
      <c r="B10" s="10">
        <f>0.5*B9</f>
        <v/>
      </c>
      <c r="C10" s="10">
        <f>C9</f>
        <v/>
      </c>
      <c r="D10" s="10">
        <f>0.5*D9</f>
        <v/>
      </c>
      <c r="E10" s="10">
        <f>0.5*E9</f>
        <v/>
      </c>
      <c r="F10" s="10">
        <f>F9</f>
        <v/>
      </c>
      <c r="G10" s="10">
        <f>MIN(0.5*G9, 125)</f>
        <v/>
      </c>
      <c r="H10" s="10" t="n"/>
      <c r="I10" s="10" t="n"/>
      <c r="J10" s="6" t="n"/>
      <c r="K10" s="6" t="n"/>
    </row>
    <row r="11" ht="24" customHeight="1" s="17" thickBot="1" thickTop="1">
      <c r="A11" s="5" t="inlineStr">
        <is>
          <t>May</t>
        </is>
      </c>
      <c r="B11" s="6" t="n"/>
      <c r="C11" s="6" t="n"/>
      <c r="D11" s="6" t="n"/>
      <c r="E11" s="6" t="n"/>
      <c r="F11" s="6" t="n"/>
      <c r="G11" s="6" t="n"/>
      <c r="H11" s="7">
        <f>0.5*B11 + C11 + 0.5*D11 + 0.5*E11 + F11 + MIN(0.5*G11, 125)</f>
        <v/>
      </c>
      <c r="I11" s="6" t="n"/>
      <c r="J11" s="6">
        <f>0.5*B11 + 0 + 0.5*D11 + 0.5*E11 + 0 + (G11 - MIN(0.5*G11, 125))</f>
        <v/>
      </c>
      <c r="K11" s="6">
        <f>J11+H11</f>
        <v/>
      </c>
    </row>
    <row r="12" ht="57" customHeight="1" s="17" thickBot="1" thickTop="1">
      <c r="A12" s="9" t="inlineStr">
        <is>
          <t>Tenant Share:</t>
        </is>
      </c>
      <c r="B12" s="10">
        <f>0.5*B11</f>
        <v/>
      </c>
      <c r="C12" s="10">
        <f>C11</f>
        <v/>
      </c>
      <c r="D12" s="10">
        <f>0.5*D11</f>
        <v/>
      </c>
      <c r="E12" s="10">
        <f>0.5*E11</f>
        <v/>
      </c>
      <c r="F12" s="10">
        <f>F11</f>
        <v/>
      </c>
      <c r="G12" s="10">
        <f>MIN(0.5*G11, 125)</f>
        <v/>
      </c>
      <c r="H12" s="10" t="n"/>
      <c r="I12" s="10" t="n"/>
      <c r="J12" s="6" t="n"/>
      <c r="K12" s="6" t="n"/>
    </row>
    <row r="13" ht="24" customHeight="1" s="17" thickBot="1" thickTop="1">
      <c r="A13" s="5" t="inlineStr">
        <is>
          <t>June</t>
        </is>
      </c>
      <c r="B13" s="6" t="n"/>
      <c r="C13" s="6" t="n"/>
      <c r="D13" s="6" t="n"/>
      <c r="E13" s="6" t="n"/>
      <c r="F13" s="6" t="n"/>
      <c r="G13" s="6" t="n"/>
      <c r="H13" s="7">
        <f>0.5*B13 + C13 + 0.5*D13 + 0.5*E13 + F13 + MIN(0.5*G13, 125)</f>
        <v/>
      </c>
      <c r="I13" s="6" t="n"/>
      <c r="J13" s="6">
        <f>0.5*B13 + 0 + 0.5*D13 + 0.5*E13 + 0 + (G13 - MIN(0.5*G13, 125))</f>
        <v/>
      </c>
      <c r="K13" s="6">
        <f>J13+H13</f>
        <v/>
      </c>
    </row>
    <row r="14" ht="21" customHeight="1" s="17" thickBot="1" thickTop="1">
      <c r="A14" s="9" t="inlineStr">
        <is>
          <t>Tenant Share:</t>
        </is>
      </c>
      <c r="B14" s="10">
        <f>0.5*B13</f>
        <v/>
      </c>
      <c r="C14" s="10">
        <f>C13</f>
        <v/>
      </c>
      <c r="D14" s="10">
        <f>0.5*D13</f>
        <v/>
      </c>
      <c r="E14" s="10">
        <f>0.5*E13</f>
        <v/>
      </c>
      <c r="F14" s="10">
        <f>F13</f>
        <v/>
      </c>
      <c r="G14" s="10">
        <f>MIN(0.5*G13, 125)</f>
        <v/>
      </c>
      <c r="H14" s="10" t="n"/>
      <c r="I14" s="10" t="n"/>
      <c r="J14" s="6" t="n"/>
      <c r="K14" s="6" t="n"/>
    </row>
    <row r="15" ht="24" customHeight="1" s="17" thickBot="1" thickTop="1">
      <c r="A15" s="5" t="inlineStr">
        <is>
          <t>July</t>
        </is>
      </c>
      <c r="B15" s="6" t="n"/>
      <c r="C15" s="6" t="n"/>
      <c r="D15" s="6" t="n"/>
      <c r="E15" s="6" t="n"/>
      <c r="F15" s="6" t="n"/>
      <c r="G15" s="6" t="n"/>
      <c r="H15" s="7">
        <f>0.5*B15 + C15 + 0.5*D15 + 0.5*E15 + F15 + MIN(0.5*G15, 125)</f>
        <v/>
      </c>
      <c r="I15" s="6" t="n"/>
      <c r="J15" s="6">
        <f>0.5*B15 + 0 + 0.5*D15 + 0.5*E15 + 0 + (G15 - MIN(0.5*G15, 125))</f>
        <v/>
      </c>
      <c r="K15" s="6">
        <f>J15+H15</f>
        <v/>
      </c>
    </row>
    <row r="16" ht="21" customHeight="1" s="17" thickBot="1" thickTop="1">
      <c r="A16" s="9" t="inlineStr">
        <is>
          <t>Tenant Share:</t>
        </is>
      </c>
      <c r="B16" s="10">
        <f>0.5*B15</f>
        <v/>
      </c>
      <c r="C16" s="10">
        <f>C15</f>
        <v/>
      </c>
      <c r="D16" s="10">
        <f>0.5*D15</f>
        <v/>
      </c>
      <c r="E16" s="10">
        <f>0.5*E15</f>
        <v/>
      </c>
      <c r="F16" s="10">
        <f>F15</f>
        <v/>
      </c>
      <c r="G16" s="10">
        <f>MIN(0.5*G15, 125)</f>
        <v/>
      </c>
      <c r="H16" s="10" t="n"/>
      <c r="I16" s="10" t="n"/>
      <c r="J16" s="6" t="n"/>
      <c r="K16" s="6" t="n"/>
    </row>
    <row r="17" ht="24" customHeight="1" s="17" thickBot="1" thickTop="1">
      <c r="A17" s="12" t="inlineStr">
        <is>
          <t>August</t>
        </is>
      </c>
      <c r="B17" s="6" t="n"/>
      <c r="C17" s="6" t="n"/>
      <c r="D17" s="6" t="n"/>
      <c r="E17" s="6" t="n"/>
      <c r="F17" s="6" t="n"/>
      <c r="G17" s="6" t="n"/>
      <c r="H17" s="7">
        <f>0.5*B17 + C17 + 0.5*D17 + 0.5*E17 + F17 + MIN(0.5*G17, 125)</f>
        <v/>
      </c>
      <c r="I17" s="6" t="n"/>
      <c r="J17" s="6">
        <f>0.5*B17 + 0 + 0.5*D17 + 0.5*E17 + 0 + (G17 - MIN(0.5*G17, 125))</f>
        <v/>
      </c>
      <c r="K17" s="6">
        <f>J17+H17</f>
        <v/>
      </c>
    </row>
    <row r="18" ht="21" customHeight="1" s="17" thickTop="1">
      <c r="A18" s="13" t="inlineStr">
        <is>
          <t>Tenant Share:</t>
        </is>
      </c>
      <c r="B18" s="14">
        <f>0.5*B17</f>
        <v/>
      </c>
      <c r="C18" s="14">
        <f>C17</f>
        <v/>
      </c>
      <c r="D18" s="14">
        <f>0.5*D17</f>
        <v/>
      </c>
      <c r="E18" s="14">
        <f>0.5*E17</f>
        <v/>
      </c>
      <c r="F18" s="14">
        <f>F17</f>
        <v/>
      </c>
      <c r="G18" s="14">
        <f>MIN(0.5*G17, 125)</f>
        <v/>
      </c>
      <c r="H18" s="14" t="n"/>
      <c r="I18" s="14" t="n"/>
      <c r="J18" s="6">
        <f>0.5*B22 + 0.2*C22 + 0.5*D22 + 0.5*E22 + (G22-MIN(0.5*G22,125))</f>
        <v/>
      </c>
      <c r="K18" s="6">
        <f>J22+H22</f>
        <v/>
      </c>
    </row>
    <row r="19" ht="24" customHeight="1" s="17" thickBot="1">
      <c r="A19" s="12" t="inlineStr">
        <is>
          <t>September</t>
        </is>
      </c>
      <c r="B19" s="6" t="n"/>
      <c r="C19" s="6" t="n"/>
      <c r="D19" s="6" t="n"/>
      <c r="E19" s="6" t="n"/>
      <c r="F19" s="6" t="n"/>
      <c r="G19" s="6" t="n"/>
      <c r="H19" s="7">
        <f>0.5*B19 + C19 + 0.5*D19 + 0.5*E19 + F19 + MIN(0.5*G19, 125)</f>
        <v/>
      </c>
      <c r="I19" s="6" t="n"/>
      <c r="J19" s="6">
        <f>0.5*B19 + 0 + 0.5*D19 + 0.5*E19 + 0 + (G19 - MIN(0.5*G19, 125))</f>
        <v/>
      </c>
      <c r="K19" s="6">
        <f>J19+H19</f>
        <v/>
      </c>
    </row>
    <row r="20" ht="21" customHeight="1" s="17" thickTop="1">
      <c r="A20" s="13" t="inlineStr">
        <is>
          <t>Tenant Share:</t>
        </is>
      </c>
      <c r="B20" s="14">
        <f>0.5*B19</f>
        <v/>
      </c>
      <c r="C20" s="14">
        <f>C19</f>
        <v/>
      </c>
      <c r="D20" s="14">
        <f>0.5*D19</f>
        <v/>
      </c>
      <c r="E20" s="14">
        <f>0.5*E19</f>
        <v/>
      </c>
      <c r="F20" s="14">
        <f>F19</f>
        <v/>
      </c>
      <c r="G20" s="14">
        <f>MIN(0.5*G19, 125)</f>
        <v/>
      </c>
      <c r="H20" s="14" t="n"/>
      <c r="I20" s="14" t="n"/>
      <c r="J20" s="6">
        <f>0.5*B24 + 0.2*C24 + 0.5*D24 + 0.5*E24 + (G24-MIN(0.5*G24,125))</f>
        <v/>
      </c>
      <c r="K20" s="6">
        <f>J24+H24</f>
        <v/>
      </c>
    </row>
    <row r="21" ht="24" customHeight="1" s="17" thickBot="1">
      <c r="A21" s="12" t="inlineStr">
        <is>
          <t>October</t>
        </is>
      </c>
      <c r="B21" s="6" t="n"/>
      <c r="C21" s="6" t="n"/>
      <c r="D21" s="6" t="n"/>
      <c r="E21" s="6" t="n"/>
      <c r="F21" s="6" t="n"/>
      <c r="G21" s="6" t="n"/>
      <c r="H21" s="7">
        <f>0.5*B21 + C21 + 0.5*D21 + 0.5*E21 + F21 + MIN(0.5*G21, 125)</f>
        <v/>
      </c>
      <c r="I21" s="6" t="n"/>
      <c r="J21" s="6">
        <f>0.5*B21 + 0 + 0.5*D21 + 0.5*E21 + 0 + (G21 - MIN(0.5*G21, 125))</f>
        <v/>
      </c>
      <c r="K21" s="6">
        <f>J21+H21</f>
        <v/>
      </c>
    </row>
    <row r="22" ht="19.5" customHeight="1" s="17" thickTop="1">
      <c r="A22" s="13" t="inlineStr">
        <is>
          <t>Tenant Share:</t>
        </is>
      </c>
      <c r="B22" s="14">
        <f>0.5*B21</f>
        <v/>
      </c>
      <c r="C22" s="14">
        <f>C21</f>
        <v/>
      </c>
      <c r="D22" s="14">
        <f>0.5*D21</f>
        <v/>
      </c>
      <c r="E22" s="14">
        <f>0.5*E21</f>
        <v/>
      </c>
      <c r="F22" s="14">
        <f>F21</f>
        <v/>
      </c>
      <c r="G22" s="14">
        <f>MIN(0.5*G21, 125)</f>
        <v/>
      </c>
      <c r="H22" s="14" t="n"/>
      <c r="I22" s="14" t="n"/>
      <c r="J22" s="6">
        <f>0.5*B26 + 0.2*C26 + 0.5*D26 + 0.5*E26 + (G26-MIN(0.5*G26,125))</f>
        <v/>
      </c>
      <c r="K22" s="6">
        <f>J26+H26</f>
        <v/>
      </c>
    </row>
    <row r="23" ht="22.5" customHeight="1" s="17" thickBot="1">
      <c r="A23" s="12" t="inlineStr">
        <is>
          <t>November</t>
        </is>
      </c>
      <c r="B23" s="6" t="n"/>
      <c r="C23" s="6" t="n"/>
      <c r="D23" s="6" t="n"/>
      <c r="E23" s="6" t="n"/>
      <c r="F23" s="6" t="n"/>
      <c r="G23" s="6" t="n"/>
      <c r="H23" s="7">
        <f>0.5*B23 + C23 + 0.5*D23 + 0.5*E23 + F23 + MIN(0.5*G23, 125)</f>
        <v/>
      </c>
      <c r="I23" s="6" t="n"/>
      <c r="J23" s="6">
        <f>0.5*B23 + 0 + 0.5*D23 + 0.5*E23 + 0 + (G23 - MIN(0.5*G23, 125))</f>
        <v/>
      </c>
      <c r="K23" s="6">
        <f>J23+H23</f>
        <v/>
      </c>
    </row>
    <row r="24" ht="19.5" customHeight="1" s="17" thickTop="1">
      <c r="A24" s="13" t="inlineStr">
        <is>
          <t>Tenant Share:</t>
        </is>
      </c>
      <c r="B24" s="14">
        <f>0.5*B23</f>
        <v/>
      </c>
      <c r="C24" s="14">
        <f>C23</f>
        <v/>
      </c>
      <c r="D24" s="14">
        <f>0.5*D23</f>
        <v/>
      </c>
      <c r="E24" s="14">
        <f>0.5*E23</f>
        <v/>
      </c>
      <c r="F24" s="14">
        <f>F23</f>
        <v/>
      </c>
      <c r="G24" s="14">
        <f>MIN(0.5*G23, 125)</f>
        <v/>
      </c>
      <c r="H24" s="14" t="n"/>
      <c r="I24" s="14" t="n"/>
      <c r="J24" s="6">
        <f>0.5*B28 + 0.2*C28 + 0.5*D28 + 0.5*E28 + (G28-MIN(0.5*G28,125))</f>
        <v/>
      </c>
      <c r="K24" s="6">
        <f>J28+H28</f>
        <v/>
      </c>
    </row>
    <row r="25" ht="22.5" customHeight="1" s="17" thickBot="1">
      <c r="A25" s="12" t="inlineStr">
        <is>
          <t>December</t>
        </is>
      </c>
      <c r="B25" s="6" t="n"/>
      <c r="C25" s="6" t="n"/>
      <c r="D25" s="6" t="n"/>
      <c r="E25" s="6" t="n"/>
      <c r="F25" s="6" t="n"/>
      <c r="G25" s="6" t="n"/>
      <c r="H25" s="7">
        <f>0.5*B25 + C25 + 0.5*D25 + 0.5*E25 + F25 + MIN(0.5*G25, 125)</f>
        <v/>
      </c>
      <c r="I25" s="6" t="n"/>
      <c r="J25" s="6">
        <f>0.5*B25 + 0 + 0.5*D25 + 0.5*E25 + 0 + (G25 - MIN(0.5*G25, 125))</f>
        <v/>
      </c>
      <c r="K25" s="6">
        <f>J25+H25</f>
        <v/>
      </c>
    </row>
    <row r="26" ht="19.5" customHeight="1" s="17" thickTop="1">
      <c r="A26" s="13" t="inlineStr">
        <is>
          <t>Tenant Share:</t>
        </is>
      </c>
      <c r="B26" s="14">
        <f>0.5*B25</f>
        <v/>
      </c>
      <c r="C26" s="14">
        <f>C25</f>
        <v/>
      </c>
      <c r="D26" s="14">
        <f>0.5*D25</f>
        <v/>
      </c>
      <c r="E26" s="14">
        <f>0.5*E25</f>
        <v/>
      </c>
      <c r="F26" s="14">
        <f>F25</f>
        <v/>
      </c>
      <c r="G26" s="14">
        <f>MIN(0.5*G25, 125)</f>
        <v/>
      </c>
      <c r="H26" s="14" t="n"/>
      <c r="I26" s="14" t="n"/>
      <c r="J26" s="6">
        <f>0.5*B30 + 0.2*C30 + 0.5*D30 + 0.5*E30 + (G30-MIN(0.5*G30,125))</f>
        <v/>
      </c>
      <c r="K26" s="6">
        <f>J30+H30</f>
        <v/>
      </c>
    </row>
    <row r="27" ht="22.5" customHeight="1" s="17"/>
    <row r="28" ht="19.5" customHeight="1" s="17"/>
    <row r="29" ht="22.5" customHeight="1" s="17"/>
    <row r="30" ht="19.5" customHeight="1" s="17"/>
  </sheetData>
  <mergeCells count="1">
    <mergeCell ref="A1:K1"/>
  </mergeCells>
  <printOptions horizontalCentered="1" verticalCentered="1"/>
  <pageMargins left="0.25" right="0.25" top="0.25" bottom="0.25" header="0.511811023622047" footer="0.511811023622047"/>
  <pageSetup orientation="landscape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2025-06-16T01:24:58Z</dcterms:created>
  <dcterms:modified xmlns:dcterms="http://purl.org/dc/terms/" xmlns:xsi="http://www.w3.org/2001/XMLSchema-instance" xsi:type="dcterms:W3CDTF">2026-07-13T23:13:25Z</dcterms:modified>
  <cp:lastModifiedBy>Ian Sherwood</cp:lastModifiedBy>
  <cp:revision>0</cp:revision>
  <cp:lastPrinted>2025-10-17T21:55:22Z</cp:lastPrinted>
</cp:coreProperties>
</file>